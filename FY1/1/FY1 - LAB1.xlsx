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/Documents/Zapisky/FY1/1/"/>
    </mc:Choice>
  </mc:AlternateContent>
  <xr:revisionPtr revIDLastSave="0" documentId="13_ncr:1_{8D1A97E8-860C-DD41-9CA1-CC79E050000A}" xr6:coauthVersionLast="47" xr6:coauthVersionMax="47" xr10:uidLastSave="{00000000-0000-0000-0000-000000000000}"/>
  <bookViews>
    <workbookView xWindow="0" yWindow="660" windowWidth="29400" windowHeight="16660" xr2:uid="{50D1F2D1-F177-9540-9CCC-CA14B3043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F14" i="1"/>
  <c r="E14" i="1"/>
  <c r="C14" i="1"/>
  <c r="B14" i="1"/>
  <c r="C17" i="1" s="1"/>
  <c r="G17" i="1" l="1"/>
</calcChain>
</file>

<file path=xl/sharedStrings.xml><?xml version="1.0" encoding="utf-8"?>
<sst xmlns="http://schemas.openxmlformats.org/spreadsheetml/2006/main" count="19" uniqueCount="15">
  <si>
    <t>Marian Frýba</t>
  </si>
  <si>
    <t>Válec</t>
  </si>
  <si>
    <t>Hranol</t>
  </si>
  <si>
    <t>Měření:</t>
  </si>
  <si>
    <t>Arit. průměr:</t>
  </si>
  <si>
    <t>d(mm)</t>
  </si>
  <si>
    <t>h(mm)</t>
  </si>
  <si>
    <t>a(mm)</t>
  </si>
  <si>
    <t>b(mm)</t>
  </si>
  <si>
    <t>c(mm)</t>
  </si>
  <si>
    <t>Arit. Průměr:</t>
  </si>
  <si>
    <t>Nejpravděpodb. objem(mm³):</t>
  </si>
  <si>
    <t>Nejistota typu A:</t>
  </si>
  <si>
    <t>Kombinovaná nejistota:</t>
  </si>
  <si>
    <t>Nejistota typu B (měření probíhalo pouze posuvným měřítkem (odchylka 20μm):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</si>
</sst>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 (Body)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19" xfId="0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/>
    <xf numFmtId="0" fontId="0" fillId="0" borderId="20" xfId="0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476250</xdr:colOff>
      <xdr:row>16</xdr:row>
      <xdr:rowOff>133350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1AC3EF-EE72-0DFD-7392-BC5A343A16D7}"/>
            </a:ext>
          </a:extLst>
        </xdr:cNvPr>
        <xdr:cNvSpPr txBox="1"/>
      </xdr:nvSpPr>
      <xdr:spPr>
        <a:xfrm>
          <a:off x="8731250" y="329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1019655</xdr:colOff>
      <xdr:row>16</xdr:row>
      <xdr:rowOff>14239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596179-D610-A6FF-346C-A91AA35661B9}"/>
            </a:ext>
          </a:extLst>
        </xdr:cNvPr>
        <xdr:cNvSpPr txBox="1"/>
      </xdr:nvSpPr>
      <xdr:spPr>
        <a:xfrm>
          <a:off x="5358822" y="316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883186</xdr:colOff>
      <xdr:row>16</xdr:row>
      <xdr:rowOff>100830</xdr:rowOff>
    </xdr:from>
    <xdr:ext cx="770659" cy="1814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4721CFC-379E-D7AB-E3FB-C6E8E9CF6BF9}"/>
                </a:ext>
              </a:extLst>
            </xdr:cNvPr>
            <xdr:cNvSpPr txBox="1"/>
          </xdr:nvSpPr>
          <xdr:spPr>
            <a:xfrm>
              <a:off x="8001870" y="4389865"/>
              <a:ext cx="770659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cs-CZ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cs-CZ" sz="1100" b="0" i="1">
                            <a:latin typeface="Cambria Math" panose="02040503050406030204" pitchFamily="18" charset="0"/>
                          </a:rPr>
                          <m:t>V</m:t>
                        </m:r>
                      </m:e>
                    </m:acc>
                    <m:r>
                      <a:rPr lang="cs-CZ" sz="1100" b="0" i="1">
                        <a:latin typeface="Cambria Math" panose="02040503050406030204" pitchFamily="18" charset="0"/>
                      </a:rPr>
                      <m:t> = </m:t>
                    </m:r>
                    <m:acc>
                      <m:accPr>
                        <m:chr m:val="̅"/>
                        <m:ctrlPr>
                          <a:rPr lang="cs-CZ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cs-CZ" sz="1100" b="0" i="1">
                            <a:latin typeface="Cambria Math" panose="02040503050406030204" pitchFamily="18" charset="0"/>
                          </a:rPr>
                          <m:t>a</m:t>
                        </m:r>
                      </m:e>
                    </m:acc>
                    <m:r>
                      <a:rPr lang="cs-CZ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acc>
                      <m:accPr>
                        <m:chr m:val="̅"/>
                        <m:ctrlPr>
                          <a:rPr lang="cs-CZ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cs-CZ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b</m:t>
                        </m:r>
                      </m:e>
                    </m:acc>
                    <m:r>
                      <a:rPr lang="cs-CZ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acc>
                      <m:accPr>
                        <m:chr m:val="̅"/>
                        <m:ctrlPr>
                          <a:rPr lang="cs-CZ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cs-CZ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c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4721CFC-379E-D7AB-E3FB-C6E8E9CF6BF9}"/>
                </a:ext>
              </a:extLst>
            </xdr:cNvPr>
            <xdr:cNvSpPr txBox="1"/>
          </xdr:nvSpPr>
          <xdr:spPr>
            <a:xfrm>
              <a:off x="8001870" y="4389865"/>
              <a:ext cx="770659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V ̅  = a ̅</a:t>
              </a:r>
              <a:r>
                <a:rPr lang="cs-CZ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∙b ̅∙c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658860</xdr:colOff>
      <xdr:row>16</xdr:row>
      <xdr:rowOff>43103</xdr:rowOff>
    </xdr:from>
    <xdr:ext cx="897362" cy="31688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0C8A03B-A4EE-3CCA-C6F8-9FC457A16805}"/>
                </a:ext>
              </a:extLst>
            </xdr:cNvPr>
            <xdr:cNvSpPr txBox="1"/>
          </xdr:nvSpPr>
          <xdr:spPr>
            <a:xfrm>
              <a:off x="1928860" y="3179618"/>
              <a:ext cx="89736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cs-CZ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cs-CZ" sz="1100" b="0" i="1">
                            <a:latin typeface="Cambria Math" panose="02040503050406030204" pitchFamily="18" charset="0"/>
                          </a:rPr>
                          <m:t>V</m:t>
                        </m:r>
                      </m:e>
                    </m:acc>
                    <m:r>
                      <a:rPr lang="cs-CZ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cs-CZ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  <m:r>
                      <a:rPr lang="cs-CZ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cs-CZ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r>
                      <a:rPr lang="cs-CZ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p>
                      <m:sSupPr>
                        <m:ctrlPr>
                          <a:rPr lang="cs-CZ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acc>
                          <m:accPr>
                            <m:chr m:val="̅"/>
                            <m:ctrlPr>
                              <a:rPr lang="cs-CZ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cs-CZ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e>
                        </m:acc>
                      </m:e>
                      <m:sup>
                        <m:r>
                          <a:rPr lang="cs-CZ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acc>
                      <m:accPr>
                        <m:chr m:val="̅"/>
                        <m:ctrlPr>
                          <a:rPr lang="cs-CZ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0C8A03B-A4EE-3CCA-C6F8-9FC457A16805}"/>
                </a:ext>
              </a:extLst>
            </xdr:cNvPr>
            <xdr:cNvSpPr txBox="1"/>
          </xdr:nvSpPr>
          <xdr:spPr>
            <a:xfrm>
              <a:off x="1928860" y="3179618"/>
              <a:ext cx="89736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V ̅=1/4</a:t>
              </a:r>
              <a:r>
                <a:rPr lang="cs-CZ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∙𝜋∙𝑑 ̅^2 </a:t>
              </a:r>
              <a:r>
                <a:rPr lang="cs-CZ" sz="1100" b="0" i="0">
                  <a:latin typeface="Cambria Math" panose="02040503050406030204" pitchFamily="18" charset="0"/>
                </a:rPr>
                <a:t>ℎ</a:t>
              </a:r>
              <a:r>
                <a:rPr lang="cs-CZ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93489</xdr:colOff>
      <xdr:row>17</xdr:row>
      <xdr:rowOff>41584</xdr:rowOff>
    </xdr:from>
    <xdr:ext cx="1986378" cy="52334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626CAD-B420-2FDF-019B-1660FDEF75DE}"/>
                </a:ext>
              </a:extLst>
            </xdr:cNvPr>
            <xdr:cNvSpPr txBox="1"/>
          </xdr:nvSpPr>
          <xdr:spPr>
            <a:xfrm>
              <a:off x="9507085" y="4720531"/>
              <a:ext cx="1986378" cy="5233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cs-CZ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cs-CZ" b="0" i="1">
                            <a:latin typeface="Cambria Math" panose="02040503050406030204" pitchFamily="18" charset="0"/>
                          </a:rPr>
                          <m:t>u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cs-CZ" b="0" i="1">
                            <a:latin typeface="Cambria Math" panose="02040503050406030204" pitchFamily="18" charset="0"/>
                          </a:rPr>
                          <m:t>B</m:t>
                        </m:r>
                      </m:sub>
                    </m:sSub>
                    <m:r>
                      <a:rPr lang="cs-CZ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cs-CZ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s-CZ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cs-CZ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cs-CZ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e>
                        </m:rad>
                      </m:den>
                    </m:f>
                    <m:r>
                      <a:rPr lang="cs-CZ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cs-CZ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s-CZ" b="0" i="1">
                            <a:latin typeface="Cambria Math" panose="02040503050406030204" pitchFamily="18" charset="0"/>
                          </a:rPr>
                          <m:t>0.02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cs-CZ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cs-CZ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e>
                        </m:rad>
                      </m:den>
                    </m:f>
                    <m:r>
                      <a:rPr lang="cs-CZ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 </m:t>
                    </m:r>
                    <m:r>
                      <m:rPr>
                        <m:nor/>
                      </m:rPr>
                      <a:rPr lang="en-US"/>
                      <m:t>0,00577 </m:t>
                    </m:r>
                    <m:r>
                      <m:rPr>
                        <m:nor/>
                      </m:rPr>
                      <a:rPr lang="en-US"/>
                      <m:t>mm</m:t>
                    </m:r>
                  </m:oMath>
                </m:oMathPara>
              </a14:m>
              <a:endParaRPr lang="en-US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626CAD-B420-2FDF-019B-1660FDEF75DE}"/>
                </a:ext>
              </a:extLst>
            </xdr:cNvPr>
            <xdr:cNvSpPr txBox="1"/>
          </xdr:nvSpPr>
          <xdr:spPr>
            <a:xfrm>
              <a:off x="9507085" y="4720531"/>
              <a:ext cx="1986378" cy="5233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cs-CZ" b="0" i="0">
                  <a:latin typeface="Cambria Math" panose="02040503050406030204" pitchFamily="18" charset="0"/>
                </a:rPr>
                <a:t>u_B=</a:t>
              </a:r>
              <a:r>
                <a:rPr lang="cs-CZ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∆/√</a:t>
              </a:r>
              <a:r>
                <a:rPr lang="cs-CZ" b="0" i="0">
                  <a:latin typeface="Cambria Math" panose="02040503050406030204" pitchFamily="18" charset="0"/>
                </a:rPr>
                <a:t>12=0.02/√12</a:t>
              </a:r>
              <a:r>
                <a:rPr lang="cs-CZ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 </a:t>
              </a:r>
              <a:r>
                <a:rPr lang="en-US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</a:t>
              </a:r>
              <a:r>
                <a:rPr lang="en-US" i="0">
                  <a:latin typeface="Cambria Math" panose="02040503050406030204" pitchFamily="18" charset="0"/>
                </a:rPr>
                <a:t>0,00577 mm</a:t>
              </a:r>
              <a:r>
                <a:rPr lang="en-US" i="0"/>
                <a:t>"</a:t>
              </a:r>
              <a:endParaRPr lang="en-US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cs-CZ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en-US"/>
            </a:p>
          </xdr:txBody>
        </xdr:sp>
      </mc:Fallback>
    </mc:AlternateContent>
    <xdr:clientData/>
  </xdr:oneCellAnchor>
  <xdr:oneCellAnchor>
    <xdr:from>
      <xdr:col>1</xdr:col>
      <xdr:colOff>1135109</xdr:colOff>
      <xdr:row>18</xdr:row>
      <xdr:rowOff>52724</xdr:rowOff>
    </xdr:from>
    <xdr:ext cx="2305888" cy="6585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F47A596-6517-056E-6860-537F990FF63F}"/>
                </a:ext>
              </a:extLst>
            </xdr:cNvPr>
            <xdr:cNvSpPr txBox="1"/>
          </xdr:nvSpPr>
          <xdr:spPr>
            <a:xfrm>
              <a:off x="2530185" y="5219315"/>
              <a:ext cx="2305888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</m:ba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</m:e>
                              <m:sup>
                                <m:sSup>
                                  <m:sSupPr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bar>
                                      <m:barPr>
                                        <m:pos m:val="top"/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bar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𝑑</m:t>
                                        </m:r>
                                      </m:e>
                                    </m:bar>
                                  </m:e>
                                  <m:sup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</m:sup>
                            </m:sSup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16</m:t>
                            </m:r>
                          </m:den>
                        </m:f>
                        <m:sSubSup>
                          <m:sSub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bar>
                              <m:barPr>
                                <m:pos m:val="top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bar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e>
                            </m:bar>
                          </m:e>
                        </m:d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</m:e>
                              <m:sup>
                                <m:sSup>
                                  <m:sSupPr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bar>
                                      <m:barPr>
                                        <m:pos m:val="top"/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bar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𝑑</m:t>
                                        </m:r>
                                      </m:e>
                                    </m:bar>
                                  </m:e>
                                  <m:sup>
                                    <m:sSup>
                                      <m:sSupPr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bar>
                                          <m:barPr>
                                            <m:pos m:val="top"/>
                                            <m:ctrlPr>
                                              <a:rPr lang="en-US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barPr>
                                          <m:e>
                                            <m:r>
                                              <a:rPr lang="en-US" sz="1100" i="1">
                                                <a:latin typeface="Cambria Math" panose="02040503050406030204" pitchFamily="18" charset="0"/>
                                              </a:rPr>
                                              <m:t>h</m:t>
                                            </m:r>
                                          </m:e>
                                        </m:bar>
                                      </m:e>
                                      <m:sup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sup>
                                </m:sSup>
                              </m:sup>
                            </m:sSup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den>
                        </m:f>
                        <m:sSubSup>
                          <m:sSub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bar>
                              <m:barPr>
                                <m:pos m:val="top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bar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e>
                            </m:bar>
                          </m:e>
                        </m:d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F47A596-6517-056E-6860-537F990FF63F}"/>
                </a:ext>
              </a:extLst>
            </xdr:cNvPr>
            <xdr:cNvSpPr txBox="1"/>
          </xdr:nvSpPr>
          <xdr:spPr>
            <a:xfrm>
              <a:off x="2530185" y="5219315"/>
              <a:ext cx="2305888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𝑢_𝐶 (¯𝑉)=√(𝜋^(〖2¯𝑑〗^4 )/16 𝑢_𝐶^2 (¯ℎ)+𝜋^(〖2¯𝑑〗^(〖2¯ℎ〗^2 ) )/4 𝑢_𝐶^2 (¯𝑑)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1930633</xdr:colOff>
      <xdr:row>18</xdr:row>
      <xdr:rowOff>156531</xdr:rowOff>
    </xdr:from>
    <xdr:ext cx="3139449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EFB479F-8D8A-9B21-75AD-952C61EE1D62}"/>
                </a:ext>
              </a:extLst>
            </xdr:cNvPr>
            <xdr:cNvSpPr txBox="1"/>
          </xdr:nvSpPr>
          <xdr:spPr>
            <a:xfrm>
              <a:off x="9049317" y="5292233"/>
              <a:ext cx="313944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</m:ba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bar>
                                  <m:barPr>
                                    <m:pos m:val="top"/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barPr>
                                  <m:e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𝑏</m:t>
                                    </m:r>
                                    <m:bar>
                                      <m:barPr>
                                        <m:pos m:val="top"/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bar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𝑐</m:t>
                                        </m:r>
                                      </m:e>
                                    </m:bar>
                                  </m:e>
                                </m:bar>
                              </m:e>
                            </m:d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bSup>
                          <m:sSub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bar>
                              <m:barPr>
                                <m:pos m:val="top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bar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</m:bar>
                          </m:e>
                        </m:d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bar>
                                  <m:barPr>
                                    <m:pos m:val="top"/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barPr>
                                  <m:e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𝑎𝑐</m:t>
                                    </m:r>
                                  </m:e>
                                </m:bar>
                              </m:e>
                            </m:d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bSup>
                          <m:sSub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bar>
                              <m:barPr>
                                <m:pos m:val="top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bar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</m:e>
                            </m:bar>
                          </m:e>
                        </m:d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bar>
                                  <m:barPr>
                                    <m:pos m:val="top"/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barPr>
                                  <m:e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𝑎</m:t>
                                    </m:r>
                                    <m:bar>
                                      <m:barPr>
                                        <m:pos m:val="top"/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bar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𝑏</m:t>
                                        </m:r>
                                      </m:e>
                                    </m:bar>
                                  </m:e>
                                </m:bar>
                              </m:e>
                            </m:d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bSup>
                          <m:sSub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bar>
                              <m:barPr>
                                <m:pos m:val="top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bar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</m:bar>
                          </m:e>
                        </m:d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EFB479F-8D8A-9B21-75AD-952C61EE1D62}"/>
                </a:ext>
              </a:extLst>
            </xdr:cNvPr>
            <xdr:cNvSpPr txBox="1"/>
          </xdr:nvSpPr>
          <xdr:spPr>
            <a:xfrm>
              <a:off x="9049317" y="5292233"/>
              <a:ext cx="313944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𝑢_𝐶 (¯𝑉)=√((¯(𝑏¯𝑐))^2 𝑢_𝐶^2 (¯𝑎)+(¯𝑎𝑐)^2 𝑢_𝐶^2 (¯𝑏)+(¯(𝑎¯𝑏))^2 𝑢_𝐶^2 (¯𝑐)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490681</xdr:colOff>
      <xdr:row>19</xdr:row>
      <xdr:rowOff>139314</xdr:rowOff>
    </xdr:from>
    <xdr:ext cx="5042471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F4F8721-46F2-086E-DC0D-0EC7E3AE95E7}"/>
                </a:ext>
              </a:extLst>
            </xdr:cNvPr>
            <xdr:cNvSpPr txBox="1"/>
          </xdr:nvSpPr>
          <xdr:spPr>
            <a:xfrm>
              <a:off x="490681" y="6065981"/>
              <a:ext cx="504247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</m:ba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13,672</m:t>
                                </m:r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16</m:t>
                            </m:r>
                          </m:den>
                        </m:f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⋅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0,00940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13,672</m:t>
                                </m:r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20,008</m:t>
                                </m:r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den>
                        </m:f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⋅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0,01763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≈7,70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mm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F4F8721-46F2-086E-DC0D-0EC7E3AE95E7}"/>
                </a:ext>
              </a:extLst>
            </xdr:cNvPr>
            <xdr:cNvSpPr txBox="1"/>
          </xdr:nvSpPr>
          <xdr:spPr>
            <a:xfrm>
              <a:off x="490681" y="6065981"/>
              <a:ext cx="504247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𝑢_𝐶 (¯𝑉)=√((𝜋^2⋅〖13,672〗^4)/16⋅〖0,00940〗^2+(𝜋^2⋅〖13,672〗^2⋅〖20,008〗^2)/4⋅〖0,01763〗^2 )≈7,70" " 〖"mm" 〗^3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356806</xdr:colOff>
      <xdr:row>19</xdr:row>
      <xdr:rowOff>244644</xdr:rowOff>
    </xdr:from>
    <xdr:ext cx="7246920" cy="21525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D5E4E89-D971-B52F-AAB4-FAD45BECA69D}"/>
                </a:ext>
              </a:extLst>
            </xdr:cNvPr>
            <xdr:cNvSpPr txBox="1"/>
          </xdr:nvSpPr>
          <xdr:spPr>
            <a:xfrm>
              <a:off x="6383736" y="6137890"/>
              <a:ext cx="7246920" cy="2152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</m:ba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27,486⋅31,570</m:t>
                                </m:r>
                              </m:e>
                            </m:d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⋅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0,02060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11,700⋅31,570</m:t>
                                </m:r>
                              </m:e>
                            </m:d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⋅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0,01024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11,700⋅27,486</m:t>
                                </m:r>
                              </m:e>
                            </m:d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⋅</m:t>
                        </m:r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0,02329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≈19,75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mm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D5E4E89-D971-B52F-AAB4-FAD45BECA69D}"/>
                </a:ext>
              </a:extLst>
            </xdr:cNvPr>
            <xdr:cNvSpPr txBox="1"/>
          </xdr:nvSpPr>
          <xdr:spPr>
            <a:xfrm>
              <a:off x="6383736" y="6137890"/>
              <a:ext cx="7246920" cy="2152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𝑢_𝐶 (¯𝑉)=√((27,486⋅31,570)^2⋅〖0,02060〗^2+(11,700⋅31,570)^2⋅〖0,01024〗^2+(11,700⋅27,486)^2⋅〖0,02329〗^2 )≈19,75" " 〖"mm" 〗^3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17531</xdr:colOff>
      <xdr:row>14</xdr:row>
      <xdr:rowOff>14242</xdr:rowOff>
    </xdr:from>
    <xdr:ext cx="2274212" cy="11586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4CDD80F-BD71-6BD2-E8CB-1B93BDBCDAE5}"/>
                </a:ext>
              </a:extLst>
            </xdr:cNvPr>
            <xdr:cNvSpPr txBox="1"/>
          </xdr:nvSpPr>
          <xdr:spPr>
            <a:xfrm>
              <a:off x="1410075" y="3122400"/>
              <a:ext cx="2274212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</m:ba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10⋅9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𝑑</m:t>
                                        </m:r>
                                      </m:e>
                                      <m:sub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−13,672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cs-CZ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0,02496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90</m:t>
                            </m:r>
                          </m:den>
                        </m:f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≈0,01665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mm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4CDD80F-BD71-6BD2-E8CB-1B93BDBCDAE5}"/>
                </a:ext>
              </a:extLst>
            </xdr:cNvPr>
            <xdr:cNvSpPr txBox="1"/>
          </xdr:nvSpPr>
          <xdr:spPr>
            <a:xfrm>
              <a:off x="1410075" y="3122400"/>
              <a:ext cx="2274212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𝑢_𝐴 (¯𝑑)=√(1/(10⋅9) ∑24_(𝑖=1)^10▒(𝑑_𝑖−13,672)^2 )=</a:t>
              </a:r>
              <a:endParaRPr lang="cs-CZ" sz="1100" i="1">
                <a:latin typeface="Cambria Math" panose="02040503050406030204" pitchFamily="18" charset="0"/>
              </a:endParaRPr>
            </a:p>
            <a:p>
              <a:r>
                <a:rPr lang="en-US" sz="1100" i="0">
                  <a:latin typeface="Cambria Math" panose="02040503050406030204" pitchFamily="18" charset="0"/>
                </a:rPr>
                <a:t>√(0,02496/90)≈0,01665" mm"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59054</xdr:colOff>
      <xdr:row>14</xdr:row>
      <xdr:rowOff>3099</xdr:rowOff>
    </xdr:from>
    <xdr:ext cx="2265107" cy="11586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DBFC8E0-7F00-A8EF-1462-BEA2D70F8FD5}"/>
                </a:ext>
              </a:extLst>
            </xdr:cNvPr>
            <xdr:cNvSpPr txBox="1"/>
          </xdr:nvSpPr>
          <xdr:spPr>
            <a:xfrm>
              <a:off x="3746510" y="3111257"/>
              <a:ext cx="2265107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</m:ba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10⋅9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h</m:t>
                                        </m:r>
                                      </m:e>
                                      <m:sub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−20,008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cs-CZ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0,00496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90</m:t>
                            </m:r>
                          </m:den>
                        </m:f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≈0,00742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mm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DBFC8E0-7F00-A8EF-1462-BEA2D70F8FD5}"/>
                </a:ext>
              </a:extLst>
            </xdr:cNvPr>
            <xdr:cNvSpPr txBox="1"/>
          </xdr:nvSpPr>
          <xdr:spPr>
            <a:xfrm>
              <a:off x="3746510" y="3111257"/>
              <a:ext cx="2265107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𝑢_𝐴 (¯ℎ)=√(1/(10⋅9) ∑24_(𝑖=1)^10▒(ℎ_𝑖−20,008)^2 )=</a:t>
              </a:r>
              <a:endParaRPr lang="cs-CZ" sz="1100" i="1">
                <a:latin typeface="Cambria Math" panose="02040503050406030204" pitchFamily="18" charset="0"/>
              </a:endParaRPr>
            </a:p>
            <a:p>
              <a:r>
                <a:rPr lang="en-US" sz="1100" i="0">
                  <a:latin typeface="Cambria Math" panose="02040503050406030204" pitchFamily="18" charset="0"/>
                </a:rPr>
                <a:t>√(0,00496/90)≈0,00742" mm"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35253</xdr:colOff>
      <xdr:row>14</xdr:row>
      <xdr:rowOff>4618</xdr:rowOff>
    </xdr:from>
    <xdr:ext cx="2257285" cy="11586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A464C34A-43AF-EA9D-5839-A89E790624F8}"/>
                </a:ext>
              </a:extLst>
            </xdr:cNvPr>
            <xdr:cNvSpPr txBox="1"/>
          </xdr:nvSpPr>
          <xdr:spPr>
            <a:xfrm>
              <a:off x="7153937" y="3112776"/>
              <a:ext cx="2257285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ba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10⋅9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𝑎</m:t>
                                        </m:r>
                                      </m:e>
                                      <m:sub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−11,700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cs-CZ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0,03520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90</m:t>
                            </m:r>
                          </m:den>
                        </m:f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≈0,01978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mm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A464C34A-43AF-EA9D-5839-A89E790624F8}"/>
                </a:ext>
              </a:extLst>
            </xdr:cNvPr>
            <xdr:cNvSpPr txBox="1"/>
          </xdr:nvSpPr>
          <xdr:spPr>
            <a:xfrm>
              <a:off x="7153937" y="3112776"/>
              <a:ext cx="2257285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𝑢_𝐴 (¯𝑎)=√(1/(10⋅9) ∑24_(𝑖=1)^10▒(𝑎_𝑖−11,700)^2 )=</a:t>
              </a:r>
              <a:endParaRPr lang="cs-CZ" sz="1100" i="1">
                <a:latin typeface="Cambria Math" panose="02040503050406030204" pitchFamily="18" charset="0"/>
              </a:endParaRPr>
            </a:p>
            <a:p>
              <a:r>
                <a:rPr lang="en-US" sz="1100" i="0">
                  <a:latin typeface="Cambria Math" panose="02040503050406030204" pitchFamily="18" charset="0"/>
                </a:rPr>
                <a:t>√(0,03520/90)≈0,01978" mm"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32976</xdr:colOff>
      <xdr:row>14</xdr:row>
      <xdr:rowOff>10694</xdr:rowOff>
    </xdr:from>
    <xdr:ext cx="2256900" cy="11586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EF0BA95-3F43-5FEC-6906-FD911EC70036}"/>
                </a:ext>
              </a:extLst>
            </xdr:cNvPr>
            <xdr:cNvSpPr txBox="1"/>
          </xdr:nvSpPr>
          <xdr:spPr>
            <a:xfrm>
              <a:off x="9446572" y="3118852"/>
              <a:ext cx="2256900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e>
                        </m:ba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10⋅9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𝑏</m:t>
                                        </m:r>
                                      </m:e>
                                      <m:sub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−27,486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cs-CZ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0,00644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90</m:t>
                            </m:r>
                          </m:den>
                        </m:f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≈0,00846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mm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EF0BA95-3F43-5FEC-6906-FD911EC70036}"/>
                </a:ext>
              </a:extLst>
            </xdr:cNvPr>
            <xdr:cNvSpPr txBox="1"/>
          </xdr:nvSpPr>
          <xdr:spPr>
            <a:xfrm>
              <a:off x="9446572" y="3118852"/>
              <a:ext cx="2256900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𝑢_𝐴 (¯𝑏)=√(1/(10⋅9) ∑24_(𝑖=1)^10▒(𝑏_𝑖−27,486)^2 )=</a:t>
              </a:r>
              <a:endParaRPr lang="cs-CZ" sz="1100" i="1">
                <a:latin typeface="Cambria Math" panose="02040503050406030204" pitchFamily="18" charset="0"/>
              </a:endParaRPr>
            </a:p>
            <a:p>
              <a:r>
                <a:rPr lang="en-US" sz="1100" i="0">
                  <a:latin typeface="Cambria Math" panose="02040503050406030204" pitchFamily="18" charset="0"/>
                </a:rPr>
                <a:t>√(0,00644/90)≈0,00846" mm"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44114</xdr:colOff>
      <xdr:row>14</xdr:row>
      <xdr:rowOff>10696</xdr:rowOff>
    </xdr:from>
    <xdr:ext cx="2227405" cy="11586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35F9427-762A-8F38-7297-877F5D5C292D}"/>
                </a:ext>
              </a:extLst>
            </xdr:cNvPr>
            <xdr:cNvSpPr txBox="1"/>
          </xdr:nvSpPr>
          <xdr:spPr>
            <a:xfrm>
              <a:off x="11741482" y="3118854"/>
              <a:ext cx="2227405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</m:ba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10⋅9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n-US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−31,570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cs-CZ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0,04580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90</m:t>
                            </m:r>
                          </m:den>
                        </m:f>
                      </m:e>
                    </m:rad>
                    <m:r>
                      <a:rPr lang="en-US" sz="1100" i="1">
                        <a:latin typeface="Cambria Math" panose="02040503050406030204" pitchFamily="18" charset="0"/>
                      </a:rPr>
                      <m:t>≈0,02256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mm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35F9427-762A-8F38-7297-877F5D5C292D}"/>
                </a:ext>
              </a:extLst>
            </xdr:cNvPr>
            <xdr:cNvSpPr txBox="1"/>
          </xdr:nvSpPr>
          <xdr:spPr>
            <a:xfrm>
              <a:off x="11741482" y="3118854"/>
              <a:ext cx="2227405" cy="1158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𝑢_𝐴 (¯𝑐)=√(1/(10⋅9) ∑24_(𝑖=1)^10▒(𝑐_𝑖−31,570)^2 )=</a:t>
              </a:r>
              <a:endParaRPr lang="cs-CZ" sz="1100" i="1">
                <a:latin typeface="Cambria Math" panose="02040503050406030204" pitchFamily="18" charset="0"/>
              </a:endParaRPr>
            </a:p>
            <a:p>
              <a:r>
                <a:rPr lang="en-US" sz="1100" i="0">
                  <a:latin typeface="Cambria Math" panose="02040503050406030204" pitchFamily="18" charset="0"/>
                </a:rPr>
                <a:t>√(0,04580/90)≈0,02256" mm"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33C8-8064-D14E-96D6-F476956B8A12}">
  <dimension ref="A1:J24"/>
  <sheetViews>
    <sheetView tabSelected="1" zoomScale="114" zoomScaleNormal="100" workbookViewId="0">
      <selection activeCell="E27" sqref="E27"/>
    </sheetView>
  </sheetViews>
  <sheetFormatPr baseColWidth="10" defaultColWidth="13.33203125" defaultRowHeight="16" x14ac:dyDescent="0.2"/>
  <cols>
    <col min="1" max="1" width="18.33203125" customWidth="1"/>
    <col min="2" max="2" width="30.1640625" customWidth="1"/>
    <col min="3" max="3" width="30.6640625" customWidth="1"/>
    <col min="4" max="4" width="14.33203125" customWidth="1"/>
    <col min="5" max="5" width="30.1640625" customWidth="1"/>
    <col min="6" max="6" width="30" customWidth="1"/>
    <col min="7" max="7" width="30.1640625" customWidth="1"/>
    <col min="9" max="9" width="14.83203125" customWidth="1"/>
  </cols>
  <sheetData>
    <row r="1" spans="1:8" ht="32" customHeight="1" thickBot="1" x14ac:dyDescent="0.25">
      <c r="A1" s="14" t="s">
        <v>0</v>
      </c>
      <c r="B1" s="15"/>
      <c r="C1" s="15"/>
      <c r="D1" s="15"/>
      <c r="E1" s="15"/>
      <c r="F1" s="15"/>
      <c r="G1" s="16"/>
      <c r="H1" s="1"/>
    </row>
    <row r="2" spans="1:8" ht="24" customHeight="1" x14ac:dyDescent="0.2">
      <c r="A2" s="11" t="s">
        <v>1</v>
      </c>
      <c r="B2" s="12"/>
      <c r="C2" s="13"/>
      <c r="D2" s="11" t="s">
        <v>2</v>
      </c>
      <c r="E2" s="12"/>
      <c r="F2" s="12"/>
      <c r="G2" s="13"/>
    </row>
    <row r="3" spans="1:8" x14ac:dyDescent="0.2">
      <c r="A3" s="5" t="s">
        <v>3</v>
      </c>
      <c r="B3" s="2" t="s">
        <v>5</v>
      </c>
      <c r="C3" s="6" t="s">
        <v>6</v>
      </c>
      <c r="D3" s="5" t="s">
        <v>3</v>
      </c>
      <c r="E3" s="2" t="s">
        <v>7</v>
      </c>
      <c r="F3" s="2" t="s">
        <v>8</v>
      </c>
      <c r="G3" s="6" t="s">
        <v>9</v>
      </c>
    </row>
    <row r="4" spans="1:8" x14ac:dyDescent="0.2">
      <c r="A4" s="21">
        <v>1</v>
      </c>
      <c r="B4" s="18">
        <v>13.72</v>
      </c>
      <c r="C4" s="22">
        <v>20</v>
      </c>
      <c r="D4" s="21">
        <v>1</v>
      </c>
      <c r="E4" s="18">
        <v>11.78</v>
      </c>
      <c r="F4" s="23">
        <v>27.5</v>
      </c>
      <c r="G4" s="22">
        <v>31.54</v>
      </c>
    </row>
    <row r="5" spans="1:8" x14ac:dyDescent="0.2">
      <c r="A5" s="7">
        <v>2</v>
      </c>
      <c r="B5" s="3">
        <v>13.6</v>
      </c>
      <c r="C5" s="8">
        <v>20.02</v>
      </c>
      <c r="D5" s="7">
        <v>2</v>
      </c>
      <c r="E5" s="3">
        <v>11.66</v>
      </c>
      <c r="F5" s="24">
        <v>27.46</v>
      </c>
      <c r="G5" s="8">
        <v>31.52</v>
      </c>
    </row>
    <row r="6" spans="1:8" x14ac:dyDescent="0.2">
      <c r="A6" s="7">
        <v>3</v>
      </c>
      <c r="B6" s="3">
        <v>13.64</v>
      </c>
      <c r="C6" s="8">
        <v>20</v>
      </c>
      <c r="D6" s="7">
        <v>3</v>
      </c>
      <c r="E6" s="3">
        <v>11.78</v>
      </c>
      <c r="F6" s="24">
        <v>27.52</v>
      </c>
      <c r="G6" s="8">
        <v>31.5</v>
      </c>
    </row>
    <row r="7" spans="1:8" x14ac:dyDescent="0.2">
      <c r="A7" s="7">
        <v>4</v>
      </c>
      <c r="B7" s="3">
        <v>13.68</v>
      </c>
      <c r="C7" s="8">
        <v>19.98</v>
      </c>
      <c r="D7" s="7">
        <v>4</v>
      </c>
      <c r="E7" s="3">
        <v>11.6</v>
      </c>
      <c r="F7" s="24">
        <v>27.5</v>
      </c>
      <c r="G7" s="8">
        <v>31.52</v>
      </c>
    </row>
    <row r="8" spans="1:8" x14ac:dyDescent="0.2">
      <c r="A8" s="7">
        <v>5</v>
      </c>
      <c r="B8" s="3">
        <v>13.66</v>
      </c>
      <c r="C8" s="8">
        <v>20.059999999999999</v>
      </c>
      <c r="D8" s="7">
        <v>5</v>
      </c>
      <c r="E8" s="3">
        <v>11.7</v>
      </c>
      <c r="F8" s="24">
        <v>27.48</v>
      </c>
      <c r="G8" s="8">
        <v>31.56</v>
      </c>
    </row>
    <row r="9" spans="1:8" x14ac:dyDescent="0.2">
      <c r="A9" s="7">
        <v>6</v>
      </c>
      <c r="B9" s="3">
        <v>13.62</v>
      </c>
      <c r="C9" s="8">
        <v>20.02</v>
      </c>
      <c r="D9" s="7">
        <v>6</v>
      </c>
      <c r="E9" s="3">
        <v>11.68</v>
      </c>
      <c r="F9" s="24">
        <v>27.44</v>
      </c>
      <c r="G9" s="8">
        <v>31.54</v>
      </c>
    </row>
    <row r="10" spans="1:8" x14ac:dyDescent="0.2">
      <c r="A10" s="7">
        <v>7</v>
      </c>
      <c r="B10" s="3">
        <v>13.62</v>
      </c>
      <c r="C10" s="8">
        <v>20</v>
      </c>
      <c r="D10" s="7">
        <v>7</v>
      </c>
      <c r="E10" s="3">
        <v>11.64</v>
      </c>
      <c r="F10" s="24">
        <v>27.46</v>
      </c>
      <c r="G10" s="8">
        <v>31.68</v>
      </c>
    </row>
    <row r="11" spans="1:8" x14ac:dyDescent="0.2">
      <c r="A11" s="7">
        <v>8</v>
      </c>
      <c r="B11" s="3">
        <v>13.7</v>
      </c>
      <c r="C11" s="8">
        <v>20.02</v>
      </c>
      <c r="D11" s="7">
        <v>8</v>
      </c>
      <c r="E11" s="3">
        <v>11.7</v>
      </c>
      <c r="F11" s="24">
        <v>27.48</v>
      </c>
      <c r="G11" s="8">
        <v>31.52</v>
      </c>
    </row>
    <row r="12" spans="1:8" x14ac:dyDescent="0.2">
      <c r="A12" s="7">
        <v>9</v>
      </c>
      <c r="B12" s="3">
        <v>13.76</v>
      </c>
      <c r="C12" s="8">
        <v>20</v>
      </c>
      <c r="D12" s="7">
        <v>9</v>
      </c>
      <c r="E12" s="3">
        <v>11.68</v>
      </c>
      <c r="F12" s="24">
        <v>27.5</v>
      </c>
      <c r="G12" s="8">
        <v>31.62</v>
      </c>
    </row>
    <row r="13" spans="1:8" x14ac:dyDescent="0.2">
      <c r="A13" s="9">
        <v>10</v>
      </c>
      <c r="B13" s="4">
        <v>13.72</v>
      </c>
      <c r="C13" s="10">
        <v>19.98</v>
      </c>
      <c r="D13" s="9">
        <v>10</v>
      </c>
      <c r="E13" s="4">
        <v>11.78</v>
      </c>
      <c r="F13" s="20">
        <v>27.52</v>
      </c>
      <c r="G13" s="10">
        <v>31.7</v>
      </c>
    </row>
    <row r="14" spans="1:8" x14ac:dyDescent="0.2">
      <c r="A14" s="9" t="s">
        <v>10</v>
      </c>
      <c r="B14" s="4">
        <f>AVERAGE(B4:B13)</f>
        <v>13.672000000000002</v>
      </c>
      <c r="C14" s="10">
        <f>AVERAGE(C4:C13)</f>
        <v>20.007999999999999</v>
      </c>
      <c r="D14" s="9" t="s">
        <v>4</v>
      </c>
      <c r="E14" s="4">
        <f>AVERAGE(E4:E13)</f>
        <v>11.7</v>
      </c>
      <c r="F14" s="20">
        <f>AVERAGE(F4:F13)</f>
        <v>27.486000000000001</v>
      </c>
      <c r="G14" s="10">
        <f>AVERAGE(G4:G13)</f>
        <v>31.57</v>
      </c>
    </row>
    <row r="15" spans="1:8" ht="54" customHeight="1" x14ac:dyDescent="0.2">
      <c r="A15" s="35" t="s">
        <v>12</v>
      </c>
      <c r="B15" s="43"/>
      <c r="C15" s="45"/>
      <c r="D15" s="41" t="s">
        <v>12</v>
      </c>
      <c r="E15" s="47"/>
      <c r="F15" s="43"/>
      <c r="G15" s="38"/>
    </row>
    <row r="16" spans="1:8" ht="39" customHeight="1" x14ac:dyDescent="0.2">
      <c r="A16" s="36"/>
      <c r="B16" s="44"/>
      <c r="C16" s="46"/>
      <c r="D16" s="42"/>
      <c r="E16" s="48"/>
      <c r="F16" s="44"/>
      <c r="G16" s="31"/>
    </row>
    <row r="17" spans="1:10" ht="31" customHeight="1" x14ac:dyDescent="0.2">
      <c r="A17" s="32" t="s">
        <v>11</v>
      </c>
      <c r="B17" s="33"/>
      <c r="C17" s="34">
        <f>0.25*PI()*POWER(B14,2)*C14</f>
        <v>2937.363266901928</v>
      </c>
      <c r="D17" s="32" t="s">
        <v>11</v>
      </c>
      <c r="E17" s="33"/>
      <c r="F17" s="33"/>
      <c r="G17" s="34">
        <f>E14*F14*G14</f>
        <v>10152.476333999999</v>
      </c>
    </row>
    <row r="18" spans="1:10" ht="36" customHeight="1" x14ac:dyDescent="0.2">
      <c r="A18" s="39" t="s">
        <v>14</v>
      </c>
      <c r="B18" s="40"/>
      <c r="C18" s="40"/>
      <c r="D18" s="50"/>
      <c r="E18" s="50"/>
      <c r="F18" s="50"/>
      <c r="G18" s="51"/>
    </row>
    <row r="19" spans="1:10" ht="60" customHeight="1" x14ac:dyDescent="0.2">
      <c r="A19" s="49" t="s">
        <v>13</v>
      </c>
      <c r="B19" s="29"/>
      <c r="C19" s="29"/>
      <c r="D19" s="52" t="s">
        <v>13</v>
      </c>
      <c r="E19" s="37"/>
      <c r="F19" s="37"/>
      <c r="G19" s="38"/>
      <c r="H19" s="30"/>
      <c r="I19" s="30"/>
      <c r="J19" s="30"/>
    </row>
    <row r="20" spans="1:10" ht="61" customHeight="1" thickBot="1" x14ac:dyDescent="0.25">
      <c r="A20" s="17"/>
      <c r="B20" s="19"/>
      <c r="C20" s="19"/>
      <c r="D20" s="26"/>
      <c r="E20" s="27"/>
      <c r="F20" s="27"/>
      <c r="G20" s="28"/>
      <c r="H20" s="25"/>
      <c r="I20" s="25"/>
    </row>
    <row r="21" spans="1:10" x14ac:dyDescent="0.2">
      <c r="A21" s="30"/>
      <c r="B21" s="30"/>
      <c r="C21" s="30"/>
      <c r="D21" s="30"/>
      <c r="E21" s="30"/>
      <c r="F21" s="30"/>
      <c r="G21" s="30"/>
      <c r="H21" s="30"/>
      <c r="I21" s="30"/>
    </row>
    <row r="22" spans="1:10" x14ac:dyDescent="0.2">
      <c r="A22" s="30"/>
      <c r="B22" s="30"/>
      <c r="C22" s="30"/>
      <c r="D22" s="30"/>
      <c r="E22" s="30"/>
      <c r="F22" s="30"/>
      <c r="G22" s="30"/>
      <c r="H22" s="30"/>
      <c r="I22" s="30"/>
    </row>
    <row r="23" spans="1:10" x14ac:dyDescent="0.2">
      <c r="A23" s="30"/>
      <c r="B23" s="30"/>
      <c r="C23" s="30"/>
      <c r="D23" s="30"/>
      <c r="E23" s="30"/>
      <c r="F23" s="30"/>
      <c r="G23" s="30"/>
      <c r="H23" s="30"/>
      <c r="I23" s="30"/>
    </row>
    <row r="24" spans="1:10" x14ac:dyDescent="0.2">
      <c r="A24" s="30"/>
      <c r="B24" s="30"/>
      <c r="C24" s="30"/>
      <c r="D24" s="30"/>
      <c r="E24" s="30"/>
      <c r="F24" s="30"/>
      <c r="G24" s="30"/>
      <c r="H24" s="30"/>
      <c r="I24" s="30"/>
    </row>
  </sheetData>
  <mergeCells count="17">
    <mergeCell ref="A18:G18"/>
    <mergeCell ref="B19:C19"/>
    <mergeCell ref="A20:C20"/>
    <mergeCell ref="E19:G19"/>
    <mergeCell ref="D20:G20"/>
    <mergeCell ref="A2:C2"/>
    <mergeCell ref="D2:G2"/>
    <mergeCell ref="A1:G1"/>
    <mergeCell ref="A17:B17"/>
    <mergeCell ref="D17:F17"/>
    <mergeCell ref="D15:D16"/>
    <mergeCell ref="A15:A16"/>
    <mergeCell ref="B15:B16"/>
    <mergeCell ref="C15:C16"/>
    <mergeCell ref="G15:G16"/>
    <mergeCell ref="F15:F16"/>
    <mergeCell ref="E15:E1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Fryba, Marian</dc:creator>
  <cp:lastModifiedBy>Fryba, Marian</cp:lastModifiedBy>
  <dcterms:created xsi:type="dcterms:W3CDTF">2026-02-20T09:21:35Z</dcterms:created>
  <dcterms:modified xsi:type="dcterms:W3CDTF">2026-03-07T21:34:00Z</dcterms:modified>
</cp:coreProperties>
</file>